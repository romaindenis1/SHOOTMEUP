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E25F21F7-B1BA-415B-A07E-C543EA7E0C6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7" l="1"/>
  <c r="B15" i="157"/>
  <c r="B13" i="157"/>
  <c r="B11" i="157"/>
  <c r="B9" i="157"/>
  <c r="B7" i="157"/>
  <c r="B5" i="157"/>
  <c r="C20" i="157"/>
  <c r="C19" i="157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<sst xmlns="http://schemas.openxmlformats.org/spreadsheetml/2006/main" count="329" uniqueCount="145">
  <si>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</si>
  <si>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</si>
  <si>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</si>
  <si>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</si>
  <si>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</si>
  <si>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</si>
  <si>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</si>
  <si>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</si>
  <si>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</si>
  <si>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</si>
  <si>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</si>
  <si>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</si>
  <si>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</si>
  <si>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</si>
  <si>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</si>
  <si>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</si>
  <si>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</si>
  <si>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</si>
  <si>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</si>
  <si>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</si>
  <si>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</si>
  <si>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</si>
  <si>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</si>
  <si>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</si>
  <si>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</si>
  <si>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</si>
  <si>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</si>
  <si>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</si>
  <si>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</si>
  <si>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</si>
  <si>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</si>
  <si>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</si>
  <si>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</si>
  <si>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</si>
  <si>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</si>
  <si>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</si>
  <si>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</si>
  <si>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</si>
  <si>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</si>
  <si>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</si>
  <si>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</si>
  <si>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</si>
  <si>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</si>
  <si>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</si>
  <si>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</si>
  <si>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</si>
  <si>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</si>
  <si>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</si>
  <si>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</si>
  <si>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</si>
  <si>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</si>
  <si>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</si>
  <si>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</si>
  <si>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</si>
  <si>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</si>
  <si>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</si>
  <si>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</si>
  <si>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</si>
  <si>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</si>
  <si>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</si>
  <si>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</si>
  <si>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</si>
  <si>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</si>
  <si>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</si>
  <si>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</si>
  <si>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</si>
  <si>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</si>
  <si>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</si>
  <si>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</si>
  <si>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</si>
  <si>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</si>
  <si>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</si>
  <si>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</si>
  <si>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</si>
  <si>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</si>
  <si>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</si>
  <si>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</si>
  <si>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</si>
  <si>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</si>
  <si>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</si>
  <si>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</si>
  <si>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</si>
  <si>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</si>
  <si>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</si>
  <si>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</si>
  <si>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</si>
  <si>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</si>
  <si>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</si>
  <si>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</si>
  <si>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</si>
  <si>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</si>
  <si>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</si>
  <si>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</si>
  <si>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</si>
  <si>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</si>
  <si>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</si>
  <si>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</si>
  <si>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</si>
  <si>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</si>
  <si>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</si>
  <si>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</si>
  <si>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</si>
  <si>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</si>
  <si>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</si>
  <si>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</si>
  <si>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</si>
  <si>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</si>
  <si>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</si>
  <si>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</si>
  <si>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</si>
  <si>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</si>
  <si>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</si>
  <si>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</si>
  <si>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</si>
  <si>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</si>
  <si>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</si>
  <si>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</si>
  <si>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</si>
  <si>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</si>
  <si>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</si>
  <si>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</si>
  <si>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</si>
  <si>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</si>
  <si>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</si>
  <si>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</si>
  <si>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</si>
  <si>
    <t>S 1</t>
  </si>
  <si>
    <t>S 2</t>
  </si>
  <si>
    <t>S 3</t>
  </si>
  <si>
    <t>S 4</t>
  </si>
  <si>
    <t>S 5</t>
  </si>
  <si>
    <t>S 6</t>
  </si>
  <si>
    <t>S 7</t>
  </si>
  <si>
    <t>S 8</t>
  </si>
  <si>
    <t>Enemis</t>
  </si>
  <si>
    <t>Invaders</t>
  </si>
  <si>
    <t>J'ai commence les invaders</t>
  </si>
  <si>
    <t>J'ai fini les enemis</t>
  </si>
  <si>
    <t>J'ai fini les personas</t>
  </si>
  <si>
    <t>Script SQL</t>
  </si>
  <si>
    <t>J'ai fait le script SQL avec l'insertion de donnés</t>
  </si>
  <si>
    <t>Class invaders</t>
  </si>
  <si>
    <t>J'ai rendu la classe invaders fonctionel avec de la collision</t>
  </si>
  <si>
    <t>Experimentation</t>
  </si>
  <si>
    <t>J'ai experimenté avec un space invaders avec seulement des fenetres (le projet est dans mon repo github)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</si>
</sst>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8" t="s">
        <v>19</v>
      </c>
      <c r="C19" s="12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D5F1-B3F0-411B-87A1-D96ABFDBBAD1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30" t="s">
        <v>126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2"/>
      <c r="AH2" s="130" t="s">
        <v>127</v>
      </c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128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2"/>
      <c r="CP2" s="130" t="s">
        <v>129</v>
      </c>
      <c r="CQ2" s="131"/>
      <c r="CR2" s="131"/>
      <c r="CS2" s="131"/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2"/>
      <c r="DT2" s="130" t="s">
        <v>130</v>
      </c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2"/>
      <c r="EX2" s="130" t="s">
        <v>131</v>
      </c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2"/>
      <c r="GB2" s="130" t="s">
        <v>132</v>
      </c>
      <c r="GC2" s="131"/>
      <c r="GD2" s="131"/>
      <c r="GE2" s="131"/>
      <c r="GF2" s="131"/>
      <c r="GG2" s="131"/>
      <c r="GH2" s="131"/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2"/>
      <c r="HF2" s="130" t="s">
        <v>133</v>
      </c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2"/>
    </row>
    <row r="3" spans="1:243" ht="19.5" customHeight="1" x14ac:dyDescent="0.25">
      <c r="A3" s="99"/>
      <c r="B3" s="135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36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37" t="str">
        <f>Donnees!$C$21</f>
        <v>Travailler sur le IceScrum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34"/>
      <c r="C6" s="111">
        <v>6</v>
      </c>
      <c r="D6" s="124"/>
      <c r="E6" s="125"/>
      <c r="F6" s="126"/>
      <c r="G6" s="127"/>
      <c r="H6" s="125"/>
      <c r="I6" s="126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33" t="str">
        <f>Donnees!$C$22</f>
        <v>Travailler sur le Rapport</v>
      </c>
      <c r="C7" s="110">
        <v>29</v>
      </c>
      <c r="D7" s="100"/>
      <c r="E7" s="101"/>
      <c r="F7" s="102"/>
      <c r="G7" s="122"/>
      <c r="H7" s="120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21"/>
      <c r="V7" s="122"/>
      <c r="W7" s="120"/>
      <c r="X7" s="121"/>
      <c r="Y7" s="122"/>
      <c r="Z7" s="120"/>
      <c r="AA7" s="121"/>
      <c r="AB7" s="122"/>
      <c r="AC7" s="120"/>
      <c r="AD7" s="121"/>
      <c r="AE7" s="122"/>
      <c r="AF7" s="120"/>
      <c r="AG7" s="123"/>
      <c r="AH7" s="119"/>
      <c r="AI7" s="120"/>
      <c r="AJ7" s="121"/>
      <c r="AK7" s="122"/>
      <c r="AL7" s="120"/>
      <c r="AM7" s="121"/>
      <c r="AN7" s="122"/>
      <c r="AO7" s="120"/>
      <c r="AP7" s="121"/>
      <c r="AQ7" s="122"/>
      <c r="AR7" s="120"/>
      <c r="AS7" s="121"/>
      <c r="AT7" s="122"/>
      <c r="AU7" s="120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34"/>
      <c r="C8" s="111">
        <v>2</v>
      </c>
      <c r="D8" s="105"/>
      <c r="E8" s="106"/>
      <c r="F8" s="107"/>
      <c r="G8" s="108"/>
      <c r="H8" s="106"/>
      <c r="I8" s="107"/>
      <c r="J8" s="127"/>
      <c r="K8" s="125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33" t="str">
        <f>Donnees!$C$23</f>
        <v>Faire le 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34"/>
      <c r="C10" s="111">
        <v>2</v>
      </c>
      <c r="D10" s="105"/>
      <c r="E10" s="106"/>
      <c r="F10" s="107"/>
      <c r="G10" s="108"/>
      <c r="H10" s="106"/>
      <c r="I10" s="107"/>
      <c r="J10" s="108"/>
      <c r="K10" s="106"/>
      <c r="L10" s="126"/>
      <c r="M10" s="108"/>
      <c r="N10" s="106"/>
      <c r="O10" s="107"/>
      <c r="P10" s="108"/>
      <c r="Q10" s="106"/>
      <c r="R10" s="107"/>
      <c r="S10" s="127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33" t="str">
        <f>Donnees!$C$24</f>
        <v>DB - Travailler sur le MCD</v>
      </c>
      <c r="C11" s="110">
        <v>6</v>
      </c>
      <c r="D11" s="100"/>
      <c r="E11" s="101"/>
      <c r="F11" s="102"/>
      <c r="G11" s="103"/>
      <c r="H11" s="101"/>
      <c r="I11" s="121"/>
      <c r="J11" s="122"/>
      <c r="K11" s="120"/>
      <c r="L11" s="121"/>
      <c r="M11" s="122"/>
      <c r="N11" s="120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34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33" t="str">
        <f>Donnees!$C$25</f>
        <v>DB - Travailler sur le MLD</v>
      </c>
      <c r="C13" s="110">
        <v>6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21"/>
      <c r="P13" s="122"/>
      <c r="Q13" s="120"/>
      <c r="R13" s="121"/>
      <c r="S13" s="122"/>
      <c r="T13" s="120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34"/>
      <c r="C14" s="111">
        <v>6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27"/>
      <c r="N14" s="125"/>
      <c r="O14" s="126"/>
      <c r="P14" s="127"/>
      <c r="Q14" s="125"/>
      <c r="R14" s="126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33" t="str">
        <f>Donnees!$C$26</f>
        <v>DB - Travailler sur la base de donné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34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33" t="str">
        <f>Donnees!$C$27</f>
        <v>UX - Travailler sur les maquettes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x14ac:dyDescent="0.25">
      <c r="B18" s="134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25" t="s">
        <v>16</v>
      </c>
      <c r="C19" s="27">
        <f>SUM($C$3,$C$5,$C$7,$C$9,$C$11,$C$13,$C$15,$C$17)</f>
        <v>44</v>
      </c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5"/>
      <c r="AH19" s="113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5"/>
      <c r="BL19" s="113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5"/>
      <c r="CP19" s="113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14"/>
      <c r="DB19" s="114"/>
      <c r="DC19" s="114"/>
      <c r="DD19" s="114"/>
      <c r="DE19" s="114"/>
      <c r="DF19" s="114"/>
      <c r="DG19" s="114"/>
      <c r="DH19" s="114"/>
      <c r="DI19" s="114"/>
      <c r="DJ19" s="114"/>
      <c r="DK19" s="114"/>
      <c r="DL19" s="114"/>
      <c r="DM19" s="114"/>
      <c r="DN19" s="114"/>
      <c r="DO19" s="114"/>
      <c r="DP19" s="114"/>
      <c r="DQ19" s="114"/>
      <c r="DR19" s="114"/>
      <c r="DS19" s="115"/>
      <c r="DT19" s="113"/>
      <c r="DU19" s="114"/>
      <c r="DV19" s="114"/>
      <c r="DW19" s="114"/>
      <c r="DX19" s="114"/>
      <c r="DY19" s="114"/>
      <c r="DZ19" s="114"/>
      <c r="EA19" s="114"/>
      <c r="EB19" s="114"/>
      <c r="EC19" s="114"/>
      <c r="ED19" s="114"/>
      <c r="EE19" s="114"/>
      <c r="EF19" s="114"/>
      <c r="EG19" s="114"/>
      <c r="EH19" s="114"/>
      <c r="EI19" s="114"/>
      <c r="EJ19" s="114"/>
      <c r="EK19" s="114"/>
      <c r="EL19" s="114"/>
      <c r="EM19" s="114"/>
      <c r="EN19" s="114"/>
      <c r="EO19" s="114"/>
      <c r="EP19" s="114"/>
      <c r="EQ19" s="114"/>
      <c r="ER19" s="114"/>
      <c r="ES19" s="114"/>
      <c r="ET19" s="114"/>
      <c r="EU19" s="114"/>
      <c r="EV19" s="114"/>
      <c r="EW19" s="115"/>
      <c r="EX19" s="113"/>
      <c r="EY19" s="114"/>
      <c r="EZ19" s="114"/>
      <c r="FA19" s="114"/>
      <c r="FB19" s="114"/>
      <c r="FC19" s="114"/>
      <c r="FD19" s="114"/>
      <c r="FE19" s="114"/>
      <c r="FF19" s="114"/>
      <c r="FG19" s="114"/>
      <c r="FH19" s="114"/>
      <c r="FI19" s="114"/>
      <c r="FJ19" s="114"/>
      <c r="FK19" s="114"/>
      <c r="FL19" s="114"/>
      <c r="FM19" s="114"/>
      <c r="FN19" s="114"/>
      <c r="FO19" s="114"/>
      <c r="FP19" s="114"/>
      <c r="FQ19" s="114"/>
      <c r="FR19" s="114"/>
      <c r="FS19" s="114"/>
      <c r="FT19" s="114"/>
      <c r="FU19" s="114"/>
      <c r="FV19" s="114"/>
      <c r="FW19" s="114"/>
      <c r="FX19" s="114"/>
      <c r="FY19" s="114"/>
      <c r="FZ19" s="114"/>
      <c r="GA19" s="115"/>
      <c r="GB19" s="113"/>
      <c r="GC19" s="114"/>
      <c r="GD19" s="114"/>
      <c r="GE19" s="114"/>
      <c r="GF19" s="114"/>
      <c r="GG19" s="114"/>
      <c r="GH19" s="114"/>
      <c r="GI19" s="114"/>
      <c r="GJ19" s="114"/>
      <c r="GK19" s="114"/>
      <c r="GL19" s="114"/>
      <c r="GM19" s="114"/>
      <c r="GN19" s="114"/>
      <c r="GO19" s="114"/>
      <c r="GP19" s="114"/>
      <c r="GQ19" s="114"/>
      <c r="GR19" s="114"/>
      <c r="GS19" s="114"/>
      <c r="GT19" s="114"/>
      <c r="GU19" s="114"/>
      <c r="GV19" s="114"/>
      <c r="GW19" s="114"/>
      <c r="GX19" s="114"/>
      <c r="GY19" s="114"/>
      <c r="GZ19" s="114"/>
      <c r="HA19" s="114"/>
      <c r="HB19" s="114"/>
      <c r="HC19" s="114"/>
      <c r="HD19" s="114"/>
      <c r="HE19" s="115"/>
      <c r="HF19" s="113"/>
      <c r="HG19" s="114"/>
      <c r="HH19" s="114"/>
      <c r="HI19" s="114"/>
      <c r="HJ19" s="114"/>
      <c r="HK19" s="114"/>
      <c r="HL19" s="114"/>
      <c r="HM19" s="114"/>
      <c r="HN19" s="114"/>
      <c r="HO19" s="114"/>
      <c r="HP19" s="114"/>
      <c r="HQ19" s="114"/>
      <c r="HR19" s="114"/>
      <c r="HS19" s="114"/>
      <c r="HT19" s="114"/>
      <c r="HU19" s="114"/>
      <c r="HV19" s="114"/>
      <c r="HW19" s="114"/>
      <c r="HX19" s="114"/>
      <c r="HY19" s="114"/>
      <c r="HZ19" s="114"/>
      <c r="IA19" s="114"/>
      <c r="IB19" s="114"/>
      <c r="IC19" s="114"/>
      <c r="ID19" s="114"/>
      <c r="IE19" s="114"/>
      <c r="IF19" s="114"/>
      <c r="IG19" s="114"/>
      <c r="IH19" s="114"/>
      <c r="II19" s="115"/>
    </row>
    <row r="20" spans="2:243" ht="19.5" customHeight="1" thickBot="1" x14ac:dyDescent="0.3">
      <c r="B20" s="26" t="s">
        <v>17</v>
      </c>
      <c r="C20" s="28">
        <f>SUM($C$4,$C$6,$C$8,$C$10,$C$12,$C$14,$C$16,$C$18)</f>
        <v>16</v>
      </c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8"/>
      <c r="AH20" s="116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8"/>
      <c r="BL20" s="116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7"/>
      <c r="CC20" s="117"/>
      <c r="CD20" s="117"/>
      <c r="CE20" s="117"/>
      <c r="CF20" s="117"/>
      <c r="CG20" s="117"/>
      <c r="CH20" s="117"/>
      <c r="CI20" s="117"/>
      <c r="CJ20" s="117"/>
      <c r="CK20" s="117"/>
      <c r="CL20" s="117"/>
      <c r="CM20" s="117"/>
      <c r="CN20" s="117"/>
      <c r="CO20" s="118"/>
      <c r="CP20" s="116"/>
      <c r="CQ20" s="117"/>
      <c r="CR20" s="117"/>
      <c r="CS20" s="117"/>
      <c r="CT20" s="117"/>
      <c r="CU20" s="117"/>
      <c r="CV20" s="117"/>
      <c r="CW20" s="117"/>
      <c r="CX20" s="117"/>
      <c r="CY20" s="117"/>
      <c r="CZ20" s="117"/>
      <c r="DA20" s="117"/>
      <c r="DB20" s="117"/>
      <c r="DC20" s="117"/>
      <c r="DD20" s="117"/>
      <c r="DE20" s="117"/>
      <c r="DF20" s="117"/>
      <c r="DG20" s="117"/>
      <c r="DH20" s="117"/>
      <c r="DI20" s="117"/>
      <c r="DJ20" s="117"/>
      <c r="DK20" s="117"/>
      <c r="DL20" s="117"/>
      <c r="DM20" s="117"/>
      <c r="DN20" s="117"/>
      <c r="DO20" s="117"/>
      <c r="DP20" s="117"/>
      <c r="DQ20" s="117"/>
      <c r="DR20" s="117"/>
      <c r="DS20" s="118"/>
      <c r="DT20" s="116"/>
      <c r="DU20" s="117"/>
      <c r="DV20" s="117"/>
      <c r="DW20" s="117"/>
      <c r="DX20" s="117"/>
      <c r="DY20" s="117"/>
      <c r="DZ20" s="117"/>
      <c r="EA20" s="117"/>
      <c r="EB20" s="117"/>
      <c r="EC20" s="117"/>
      <c r="ED20" s="117"/>
      <c r="EE20" s="117"/>
      <c r="EF20" s="117"/>
      <c r="EG20" s="117"/>
      <c r="EH20" s="117"/>
      <c r="EI20" s="117"/>
      <c r="EJ20" s="117"/>
      <c r="EK20" s="117"/>
      <c r="EL20" s="117"/>
      <c r="EM20" s="117"/>
      <c r="EN20" s="117"/>
      <c r="EO20" s="117"/>
      <c r="EP20" s="117"/>
      <c r="EQ20" s="117"/>
      <c r="ER20" s="117"/>
      <c r="ES20" s="117"/>
      <c r="ET20" s="117"/>
      <c r="EU20" s="117"/>
      <c r="EV20" s="117"/>
      <c r="EW20" s="118"/>
      <c r="EX20" s="116"/>
      <c r="EY20" s="117"/>
      <c r="EZ20" s="117"/>
      <c r="FA20" s="117"/>
      <c r="FB20" s="117"/>
      <c r="FC20" s="117"/>
      <c r="FD20" s="117"/>
      <c r="FE20" s="117"/>
      <c r="FF20" s="117"/>
      <c r="FG20" s="117"/>
      <c r="FH20" s="117"/>
      <c r="FI20" s="117"/>
      <c r="FJ20" s="117"/>
      <c r="FK20" s="117"/>
      <c r="FL20" s="117"/>
      <c r="FM20" s="117"/>
      <c r="FN20" s="117"/>
      <c r="FO20" s="117"/>
      <c r="FP20" s="117"/>
      <c r="FQ20" s="117"/>
      <c r="FR20" s="117"/>
      <c r="FS20" s="117"/>
      <c r="FT20" s="117"/>
      <c r="FU20" s="117"/>
      <c r="FV20" s="117"/>
      <c r="FW20" s="117"/>
      <c r="FX20" s="117"/>
      <c r="FY20" s="117"/>
      <c r="FZ20" s="117"/>
      <c r="GA20" s="118"/>
      <c r="GB20" s="116"/>
      <c r="GC20" s="117"/>
      <c r="GD20" s="117"/>
      <c r="GE20" s="117"/>
      <c r="GF20" s="117"/>
      <c r="GG20" s="117"/>
      <c r="GH20" s="117"/>
      <c r="GI20" s="117"/>
      <c r="GJ20" s="117"/>
      <c r="GK20" s="117"/>
      <c r="GL20" s="117"/>
      <c r="GM20" s="117"/>
      <c r="GN20" s="117"/>
      <c r="GO20" s="117"/>
      <c r="GP20" s="117"/>
      <c r="GQ20" s="117"/>
      <c r="GR20" s="117"/>
      <c r="GS20" s="117"/>
      <c r="GT20" s="117"/>
      <c r="GU20" s="117"/>
      <c r="GV20" s="117"/>
      <c r="GW20" s="117"/>
      <c r="GX20" s="117"/>
      <c r="GY20" s="117"/>
      <c r="GZ20" s="117"/>
      <c r="HA20" s="117"/>
      <c r="HB20" s="117"/>
      <c r="HC20" s="117"/>
      <c r="HD20" s="117"/>
      <c r="HE20" s="118"/>
      <c r="HF20" s="116"/>
      <c r="HG20" s="117"/>
      <c r="HH20" s="117"/>
      <c r="HI20" s="117"/>
      <c r="HJ20" s="117"/>
      <c r="HK20" s="117"/>
      <c r="HL20" s="117"/>
      <c r="HM20" s="117"/>
      <c r="HN20" s="117"/>
      <c r="HO20" s="117"/>
      <c r="HP20" s="117"/>
      <c r="HQ20" s="117"/>
      <c r="HR20" s="117"/>
      <c r="HS20" s="117"/>
      <c r="HT20" s="117"/>
      <c r="HU20" s="117"/>
      <c r="HV20" s="117"/>
      <c r="HW20" s="117"/>
      <c r="HX20" s="117"/>
      <c r="HY20" s="117"/>
      <c r="HZ20" s="117"/>
      <c r="IA20" s="117"/>
      <c r="IB20" s="117"/>
      <c r="IC20" s="117"/>
      <c r="ID20" s="117"/>
      <c r="IE20" s="117"/>
      <c r="IF20" s="117"/>
      <c r="IG20" s="117"/>
      <c r="IH20" s="117"/>
      <c r="II20" s="118"/>
    </row>
  </sheetData>
  <sheetProtection sheet="1" objects="1" scenarios="1" insertRows="0" selectLockedCells="1"/>
  <mergeCells count="16"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  <mergeCell ref="DT2:EW2"/>
    <mergeCell ref="EX2:GA2"/>
    <mergeCell ref="GB2:HE2"/>
    <mergeCell ref="HF2:II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C175EDDA-973B-44F8-B65B-0B2BD82284E2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5" t="s">
        <v>21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78" workbookViewId="0">
      <selection activeCell="D81" sqref="D8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 t="s">
        <v>49</v>
      </c>
      <c r="B64" s="2"/>
      <c r="C64" s="10"/>
      <c r="D64" s="10"/>
    </row>
    <row r="65" spans="1:4" x14ac:dyDescent="0.25">
      <c r="A65" s="92" t="s">
        <v>134</v>
      </c>
      <c r="B65" s="2">
        <v>5</v>
      </c>
      <c r="C65" s="93" t="s">
        <v>137</v>
      </c>
      <c r="D65" s="10"/>
    </row>
    <row r="66" spans="1:4" x14ac:dyDescent="0.25">
      <c r="A66" s="92" t="s">
        <v>135</v>
      </c>
      <c r="B66" s="2">
        <v>4</v>
      </c>
      <c r="C66" s="93" t="s">
        <v>136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48</v>
      </c>
      <c r="B79" s="4"/>
      <c r="C79" s="9"/>
      <c r="D79" s="9"/>
    </row>
    <row r="80" spans="1:4" x14ac:dyDescent="0.25">
      <c r="A80" s="92" t="s">
        <v>84</v>
      </c>
      <c r="B80" s="2">
        <v>9</v>
      </c>
      <c r="C80" s="93" t="s">
        <v>138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92" t="s">
        <v>37</v>
      </c>
      <c r="B82" s="2"/>
      <c r="C82" s="10"/>
      <c r="D82" s="10"/>
    </row>
    <row r="83" spans="1:4" x14ac:dyDescent="0.25">
      <c r="A83" s="92" t="s">
        <v>139</v>
      </c>
      <c r="B83" s="2">
        <v>9</v>
      </c>
      <c r="C83" s="93" t="s">
        <v>140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92" t="s">
        <v>49</v>
      </c>
      <c r="B85" s="2"/>
      <c r="C85" s="10"/>
      <c r="D85" s="10"/>
    </row>
    <row r="86" spans="1:4" x14ac:dyDescent="0.25">
      <c r="A86" s="92" t="s">
        <v>141</v>
      </c>
      <c r="B86" s="2">
        <v>3</v>
      </c>
      <c r="C86" s="93" t="s">
        <v>142</v>
      </c>
      <c r="D86" s="10"/>
    </row>
    <row r="87" spans="1:4" ht="27" x14ac:dyDescent="0.25">
      <c r="A87" s="92" t="s">
        <v>143</v>
      </c>
      <c r="B87" s="2">
        <v>6</v>
      </c>
      <c r="C87" s="93" t="s">
        <v>144</v>
      </c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9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2024-09-27T14:33:30Z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