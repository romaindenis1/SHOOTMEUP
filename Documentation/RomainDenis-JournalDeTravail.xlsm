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A550F378-BCE3-4442-A5DC-82E8FAF7B644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57" l="1"/>
  <c r="B15" i="157"/>
  <c r="B13" i="157"/>
  <c r="B11" i="157"/>
  <c r="B9" i="157"/>
  <c r="B7" i="157"/>
  <c r="B5" i="157"/>
  <c r="C20" i="157"/>
  <c r="C19" i="157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<sst xmlns="http://schemas.openxmlformats.org/spreadsheetml/2006/main" count="321" uniqueCount="139">
  <si>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</si>
  <si>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</si>
  <si>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</si>
  <si>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</si>
  <si>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</si>
  <si>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</si>
  <si>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</si>
  <si>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</si>
  <si>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</si>
  <si>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</si>
  <si>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</si>
  <si>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</si>
  <si>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</si>
  <si>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</si>
  <si>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</si>
  <si>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</si>
  <si>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</si>
  <si>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</si>
  <si>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</si>
  <si>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</si>
  <si>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</si>
  <si>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</si>
  <si>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</si>
  <si>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</si>
  <si>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</si>
  <si>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</si>
  <si>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</si>
  <si>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</si>
  <si>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</si>
  <si>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</si>
  <si>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</si>
  <si>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</si>
  <si>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</si>
  <si>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</si>
  <si>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</si>
  <si>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</si>
  <si>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</si>
  <si>
    <t>DB</t>
  </si>
  <si>
    <t>Lire le cahier des charges</t>
  </si>
  <si>
    <t>On a pas fait projet en UX vendredi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</si>
  <si>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</si>
  <si>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</si>
  <si>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</si>
  <si>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OOP</t>
  </si>
  <si>
    <t>Transistion vers planning excel</t>
  </si>
  <si>
    <t>J'ai appri que on pouvait faire le planning sans icescrum donc j'ai fait mon planning sur excel</t>
  </si>
  <si>
    <t>Commencer a regarder comment faire le programme</t>
  </si>
  <si>
    <t>Je vais regarder comment faire le programme</t>
  </si>
  <si>
    <t>UX</t>
  </si>
  <si>
    <t>POO</t>
  </si>
  <si>
    <t>Commencer a faire la maquette</t>
  </si>
  <si>
    <t>Faire bouger le personnage</t>
  </si>
  <si>
    <t>Je vais faire bouger le joueur de droite a gauche</t>
  </si>
  <si>
    <t>Faire la plannification</t>
  </si>
  <si>
    <t>Je vais faire la plannification</t>
  </si>
  <si>
    <t>Je vais regarder comment faire des ennemis</t>
  </si>
  <si>
    <t>Ennemis</t>
  </si>
  <si>
    <t>Je vais faire les ennemis</t>
  </si>
  <si>
    <t>Je vais faire les obstacles</t>
  </si>
  <si>
    <t>Je vais faire des obstacles qui bloquent le joueur</t>
  </si>
  <si>
    <t>Sprite</t>
  </si>
  <si>
    <t>Je vais donner des sprites a tout les entites</t>
  </si>
  <si>
    <t>Nombre de vies</t>
  </si>
  <si>
    <t>Je vais faire un compteur de vies</t>
  </si>
  <si>
    <t>Score</t>
  </si>
  <si>
    <t>Je vais faire le score</t>
  </si>
  <si>
    <t>Menu</t>
  </si>
  <si>
    <t xml:space="preserve">Je vais faire le menu </t>
  </si>
  <si>
    <t>Je vais faire un deuxieme niveau</t>
  </si>
  <si>
    <t>Deuxieme niveau</t>
  </si>
  <si>
    <t>Highscores</t>
  </si>
  <si>
    <t>Je vais faire les highscores</t>
  </si>
  <si>
    <t>Specificites POO</t>
  </si>
  <si>
    <t>Je vais faire les specificites POO dans le rapport</t>
  </si>
  <si>
    <t>Je vais faire la maquette</t>
  </si>
  <si>
    <t>J'ai fait le planning</t>
  </si>
  <si>
    <t>Pas de periodes de UX cette semaine</t>
  </si>
  <si>
    <t>Exploration Windows forms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</si>
  <si>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</si>
  <si>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</si>
  <si>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</si>
  <si>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</si>
  <si>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</si>
  <si>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</si>
  <si>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Personas</t>
  </si>
  <si>
    <t xml:space="preserve">Faire le planning </t>
  </si>
  <si>
    <t>Je vais faire le planning UX</t>
  </si>
  <si>
    <t>Menu principal</t>
  </si>
  <si>
    <t>Je vais faire la maquette menu principal</t>
  </si>
  <si>
    <t>Maquette de jeu</t>
  </si>
  <si>
    <t>Je vais faire la maquette pour l'ecran de jeux</t>
  </si>
  <si>
    <t>High scores</t>
  </si>
  <si>
    <t>Maquette High Scores</t>
  </si>
  <si>
    <t>Editeur de niveau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</si>
  <si>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</si>
  <si>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</si>
  <si>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</si>
  <si>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</si>
  <si>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</si>
  <si>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</si>
  <si>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Jeu de donne</t>
  </si>
  <si>
    <t>Je vais faire un jeu de donne</t>
  </si>
  <si>
    <t>Je vais faire le MLD</t>
  </si>
  <si>
    <t xml:space="preserve">Je vais finir le MLD </t>
  </si>
  <si>
    <t>Faire la base de donnes</t>
  </si>
  <si>
    <t>Je vais faire la base de donnes, et importer mes donnes</t>
  </si>
  <si>
    <t>Faire le backup de la db</t>
  </si>
  <si>
    <t>Faire le restore de la DB</t>
  </si>
  <si>
    <t xml:space="preserve">Faire le rapport </t>
  </si>
  <si>
    <t>Connecter code a DB</t>
  </si>
  <si>
    <t>Je vais faire le restore de la DB</t>
  </si>
  <si>
    <t>Je vais faire le rapport</t>
  </si>
  <si>
    <t>Je vais essayer de connecter le code a la DB</t>
  </si>
  <si>
    <t>UX - pas fait de projet</t>
  </si>
  <si>
    <t>Personnage qui bouge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</si>
  <si>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</si>
  <si>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</si>
  <si>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</si>
  <si>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</si>
  <si>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</si>
  <si>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Balles</t>
  </si>
  <si>
    <t>J'ai rendu les balles marchent</t>
  </si>
  <si>
    <t>Maquette basse fidelite</t>
  </si>
  <si>
    <t>J'ai commencé et presque fini les personas</t>
  </si>
  <si>
    <t>J'ai fait la maquette basse fidelite</t>
  </si>
  <si>
    <t>Maquette haute fidelite</t>
  </si>
  <si>
    <t>S 1</t>
  </si>
  <si>
    <t>S 2</t>
  </si>
  <si>
    <t>S 3</t>
  </si>
  <si>
    <t>S 4</t>
  </si>
  <si>
    <t>S 5</t>
  </si>
  <si>
    <t>S 6</t>
  </si>
  <si>
    <t>S 7</t>
  </si>
  <si>
    <t>S 8</t>
  </si>
  <si>
    <t>Enemis</t>
  </si>
  <si>
    <t>Invaders</t>
  </si>
  <si>
    <t>J'ai commence les invaders</t>
  </si>
  <si>
    <t>J'ai fini les enemis</t>
  </si>
  <si>
    <t>J'ai fini les personas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</si>
</sst>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8" t="s">
        <v>19</v>
      </c>
      <c r="C19" s="12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4D5F1-B3F0-411B-87A1-D96ABFDBBAD1}">
  <sheetPr codeName="Feuil7"/>
  <dimension ref="A1:II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30" t="s">
        <v>126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2"/>
      <c r="AH2" s="130" t="s">
        <v>127</v>
      </c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2"/>
      <c r="BL2" s="130" t="s">
        <v>128</v>
      </c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2"/>
      <c r="CP2" s="130" t="s">
        <v>129</v>
      </c>
      <c r="CQ2" s="131"/>
      <c r="CR2" s="131"/>
      <c r="CS2" s="131"/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2"/>
      <c r="DT2" s="130" t="s">
        <v>130</v>
      </c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2"/>
      <c r="EX2" s="130" t="s">
        <v>131</v>
      </c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2"/>
      <c r="GB2" s="130" t="s">
        <v>132</v>
      </c>
      <c r="GC2" s="131"/>
      <c r="GD2" s="131"/>
      <c r="GE2" s="131"/>
      <c r="GF2" s="131"/>
      <c r="GG2" s="131"/>
      <c r="GH2" s="131"/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2"/>
      <c r="HF2" s="130" t="s">
        <v>133</v>
      </c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2"/>
    </row>
    <row r="3" spans="1:243" ht="19.5" customHeight="1" x14ac:dyDescent="0.25">
      <c r="A3" s="99"/>
      <c r="B3" s="135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36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37" t="str">
        <f>Donnees!$C$21</f>
        <v>Travailler sur le IceScrum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34"/>
      <c r="C6" s="111">
        <v>6</v>
      </c>
      <c r="D6" s="124"/>
      <c r="E6" s="125"/>
      <c r="F6" s="126"/>
      <c r="G6" s="127"/>
      <c r="H6" s="125"/>
      <c r="I6" s="126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33" t="str">
        <f>Donnees!$C$22</f>
        <v>Travailler sur le Rapport</v>
      </c>
      <c r="C7" s="110">
        <v>29</v>
      </c>
      <c r="D7" s="100"/>
      <c r="E7" s="101"/>
      <c r="F7" s="102"/>
      <c r="G7" s="122"/>
      <c r="H7" s="120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21"/>
      <c r="V7" s="122"/>
      <c r="W7" s="120"/>
      <c r="X7" s="121"/>
      <c r="Y7" s="122"/>
      <c r="Z7" s="120"/>
      <c r="AA7" s="121"/>
      <c r="AB7" s="122"/>
      <c r="AC7" s="120"/>
      <c r="AD7" s="121"/>
      <c r="AE7" s="122"/>
      <c r="AF7" s="120"/>
      <c r="AG7" s="123"/>
      <c r="AH7" s="119"/>
      <c r="AI7" s="120"/>
      <c r="AJ7" s="121"/>
      <c r="AK7" s="122"/>
      <c r="AL7" s="120"/>
      <c r="AM7" s="121"/>
      <c r="AN7" s="122"/>
      <c r="AO7" s="120"/>
      <c r="AP7" s="121"/>
      <c r="AQ7" s="122"/>
      <c r="AR7" s="120"/>
      <c r="AS7" s="121"/>
      <c r="AT7" s="122"/>
      <c r="AU7" s="120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34"/>
      <c r="C8" s="111">
        <v>2</v>
      </c>
      <c r="D8" s="105"/>
      <c r="E8" s="106"/>
      <c r="F8" s="107"/>
      <c r="G8" s="108"/>
      <c r="H8" s="106"/>
      <c r="I8" s="107"/>
      <c r="J8" s="127"/>
      <c r="K8" s="125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33" t="str">
        <f>Donnees!$C$23</f>
        <v>Faire le 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34"/>
      <c r="C10" s="111">
        <v>2</v>
      </c>
      <c r="D10" s="105"/>
      <c r="E10" s="106"/>
      <c r="F10" s="107"/>
      <c r="G10" s="108"/>
      <c r="H10" s="106"/>
      <c r="I10" s="107"/>
      <c r="J10" s="108"/>
      <c r="K10" s="106"/>
      <c r="L10" s="126"/>
      <c r="M10" s="108"/>
      <c r="N10" s="106"/>
      <c r="O10" s="107"/>
      <c r="P10" s="108"/>
      <c r="Q10" s="106"/>
      <c r="R10" s="107"/>
      <c r="S10" s="127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33" t="str">
        <f>Donnees!$C$24</f>
        <v>DB - Travailler sur le MCD</v>
      </c>
      <c r="C11" s="110">
        <v>6</v>
      </c>
      <c r="D11" s="100"/>
      <c r="E11" s="101"/>
      <c r="F11" s="102"/>
      <c r="G11" s="103"/>
      <c r="H11" s="101"/>
      <c r="I11" s="121"/>
      <c r="J11" s="122"/>
      <c r="K11" s="120"/>
      <c r="L11" s="121"/>
      <c r="M11" s="122"/>
      <c r="N11" s="120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34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33" t="str">
        <f>Donnees!$C$25</f>
        <v>DB - Travailler sur le MLD</v>
      </c>
      <c r="C13" s="110">
        <v>6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21"/>
      <c r="P13" s="122"/>
      <c r="Q13" s="120"/>
      <c r="R13" s="121"/>
      <c r="S13" s="122"/>
      <c r="T13" s="120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34"/>
      <c r="C14" s="111">
        <v>6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27"/>
      <c r="N14" s="125"/>
      <c r="O14" s="126"/>
      <c r="P14" s="127"/>
      <c r="Q14" s="125"/>
      <c r="R14" s="126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33" t="str">
        <f>Donnees!$C$26</f>
        <v>DB - Travailler sur la base de donné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34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33" t="str">
        <f>Donnees!$C$27</f>
        <v>UX - Travailler sur les maquettes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x14ac:dyDescent="0.25">
      <c r="B18" s="134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25" t="s">
        <v>16</v>
      </c>
      <c r="C19" s="27">
        <f>SUM($C$3,$C$5,$C$7,$C$9,$C$11,$C$13,$C$15,$C$17)</f>
        <v>44</v>
      </c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5"/>
      <c r="AH19" s="113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5"/>
      <c r="BL19" s="113"/>
      <c r="BM19" s="114"/>
      <c r="BN19" s="114"/>
      <c r="BO19" s="114"/>
      <c r="BP19" s="114"/>
      <c r="BQ19" s="114"/>
      <c r="BR19" s="114"/>
      <c r="BS19" s="114"/>
      <c r="BT19" s="114"/>
      <c r="BU19" s="114"/>
      <c r="BV19" s="114"/>
      <c r="BW19" s="114"/>
      <c r="BX19" s="114"/>
      <c r="BY19" s="114"/>
      <c r="BZ19" s="114"/>
      <c r="CA19" s="114"/>
      <c r="CB19" s="114"/>
      <c r="CC19" s="114"/>
      <c r="CD19" s="114"/>
      <c r="CE19" s="114"/>
      <c r="CF19" s="114"/>
      <c r="CG19" s="114"/>
      <c r="CH19" s="114"/>
      <c r="CI19" s="114"/>
      <c r="CJ19" s="114"/>
      <c r="CK19" s="114"/>
      <c r="CL19" s="114"/>
      <c r="CM19" s="114"/>
      <c r="CN19" s="114"/>
      <c r="CO19" s="115"/>
      <c r="CP19" s="113"/>
      <c r="CQ19" s="114"/>
      <c r="CR19" s="114"/>
      <c r="CS19" s="114"/>
      <c r="CT19" s="114"/>
      <c r="CU19" s="114"/>
      <c r="CV19" s="114"/>
      <c r="CW19" s="114"/>
      <c r="CX19" s="114"/>
      <c r="CY19" s="114"/>
      <c r="CZ19" s="114"/>
      <c r="DA19" s="114"/>
      <c r="DB19" s="114"/>
      <c r="DC19" s="114"/>
      <c r="DD19" s="114"/>
      <c r="DE19" s="114"/>
      <c r="DF19" s="114"/>
      <c r="DG19" s="114"/>
      <c r="DH19" s="114"/>
      <c r="DI19" s="114"/>
      <c r="DJ19" s="114"/>
      <c r="DK19" s="114"/>
      <c r="DL19" s="114"/>
      <c r="DM19" s="114"/>
      <c r="DN19" s="114"/>
      <c r="DO19" s="114"/>
      <c r="DP19" s="114"/>
      <c r="DQ19" s="114"/>
      <c r="DR19" s="114"/>
      <c r="DS19" s="115"/>
      <c r="DT19" s="113"/>
      <c r="DU19" s="114"/>
      <c r="DV19" s="114"/>
      <c r="DW19" s="114"/>
      <c r="DX19" s="114"/>
      <c r="DY19" s="114"/>
      <c r="DZ19" s="114"/>
      <c r="EA19" s="114"/>
      <c r="EB19" s="114"/>
      <c r="EC19" s="114"/>
      <c r="ED19" s="114"/>
      <c r="EE19" s="114"/>
      <c r="EF19" s="114"/>
      <c r="EG19" s="114"/>
      <c r="EH19" s="114"/>
      <c r="EI19" s="114"/>
      <c r="EJ19" s="114"/>
      <c r="EK19" s="114"/>
      <c r="EL19" s="114"/>
      <c r="EM19" s="114"/>
      <c r="EN19" s="114"/>
      <c r="EO19" s="114"/>
      <c r="EP19" s="114"/>
      <c r="EQ19" s="114"/>
      <c r="ER19" s="114"/>
      <c r="ES19" s="114"/>
      <c r="ET19" s="114"/>
      <c r="EU19" s="114"/>
      <c r="EV19" s="114"/>
      <c r="EW19" s="115"/>
      <c r="EX19" s="113"/>
      <c r="EY19" s="114"/>
      <c r="EZ19" s="114"/>
      <c r="FA19" s="114"/>
      <c r="FB19" s="114"/>
      <c r="FC19" s="114"/>
      <c r="FD19" s="114"/>
      <c r="FE19" s="114"/>
      <c r="FF19" s="114"/>
      <c r="FG19" s="114"/>
      <c r="FH19" s="114"/>
      <c r="FI19" s="114"/>
      <c r="FJ19" s="114"/>
      <c r="FK19" s="114"/>
      <c r="FL19" s="114"/>
      <c r="FM19" s="114"/>
      <c r="FN19" s="114"/>
      <c r="FO19" s="114"/>
      <c r="FP19" s="114"/>
      <c r="FQ19" s="114"/>
      <c r="FR19" s="114"/>
      <c r="FS19" s="114"/>
      <c r="FT19" s="114"/>
      <c r="FU19" s="114"/>
      <c r="FV19" s="114"/>
      <c r="FW19" s="114"/>
      <c r="FX19" s="114"/>
      <c r="FY19" s="114"/>
      <c r="FZ19" s="114"/>
      <c r="GA19" s="115"/>
      <c r="GB19" s="113"/>
      <c r="GC19" s="114"/>
      <c r="GD19" s="114"/>
      <c r="GE19" s="114"/>
      <c r="GF19" s="114"/>
      <c r="GG19" s="114"/>
      <c r="GH19" s="114"/>
      <c r="GI19" s="114"/>
      <c r="GJ19" s="114"/>
      <c r="GK19" s="114"/>
      <c r="GL19" s="114"/>
      <c r="GM19" s="114"/>
      <c r="GN19" s="114"/>
      <c r="GO19" s="114"/>
      <c r="GP19" s="114"/>
      <c r="GQ19" s="114"/>
      <c r="GR19" s="114"/>
      <c r="GS19" s="114"/>
      <c r="GT19" s="114"/>
      <c r="GU19" s="114"/>
      <c r="GV19" s="114"/>
      <c r="GW19" s="114"/>
      <c r="GX19" s="114"/>
      <c r="GY19" s="114"/>
      <c r="GZ19" s="114"/>
      <c r="HA19" s="114"/>
      <c r="HB19" s="114"/>
      <c r="HC19" s="114"/>
      <c r="HD19" s="114"/>
      <c r="HE19" s="115"/>
      <c r="HF19" s="113"/>
      <c r="HG19" s="114"/>
      <c r="HH19" s="114"/>
      <c r="HI19" s="114"/>
      <c r="HJ19" s="114"/>
      <c r="HK19" s="114"/>
      <c r="HL19" s="114"/>
      <c r="HM19" s="114"/>
      <c r="HN19" s="114"/>
      <c r="HO19" s="114"/>
      <c r="HP19" s="114"/>
      <c r="HQ19" s="114"/>
      <c r="HR19" s="114"/>
      <c r="HS19" s="114"/>
      <c r="HT19" s="114"/>
      <c r="HU19" s="114"/>
      <c r="HV19" s="114"/>
      <c r="HW19" s="114"/>
      <c r="HX19" s="114"/>
      <c r="HY19" s="114"/>
      <c r="HZ19" s="114"/>
      <c r="IA19" s="114"/>
      <c r="IB19" s="114"/>
      <c r="IC19" s="114"/>
      <c r="ID19" s="114"/>
      <c r="IE19" s="114"/>
      <c r="IF19" s="114"/>
      <c r="IG19" s="114"/>
      <c r="IH19" s="114"/>
      <c r="II19" s="115"/>
    </row>
    <row r="20" spans="2:243" ht="19.5" customHeight="1" thickBot="1" x14ac:dyDescent="0.3">
      <c r="B20" s="26" t="s">
        <v>17</v>
      </c>
      <c r="C20" s="28">
        <f>SUM($C$4,$C$6,$C$8,$C$10,$C$12,$C$14,$C$16,$C$18)</f>
        <v>16</v>
      </c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8"/>
      <c r="AH20" s="116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8"/>
      <c r="BL20" s="116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7"/>
      <c r="CC20" s="117"/>
      <c r="CD20" s="117"/>
      <c r="CE20" s="117"/>
      <c r="CF20" s="117"/>
      <c r="CG20" s="117"/>
      <c r="CH20" s="117"/>
      <c r="CI20" s="117"/>
      <c r="CJ20" s="117"/>
      <c r="CK20" s="117"/>
      <c r="CL20" s="117"/>
      <c r="CM20" s="117"/>
      <c r="CN20" s="117"/>
      <c r="CO20" s="118"/>
      <c r="CP20" s="116"/>
      <c r="CQ20" s="117"/>
      <c r="CR20" s="117"/>
      <c r="CS20" s="117"/>
      <c r="CT20" s="117"/>
      <c r="CU20" s="117"/>
      <c r="CV20" s="117"/>
      <c r="CW20" s="117"/>
      <c r="CX20" s="117"/>
      <c r="CY20" s="117"/>
      <c r="CZ20" s="117"/>
      <c r="DA20" s="117"/>
      <c r="DB20" s="117"/>
      <c r="DC20" s="117"/>
      <c r="DD20" s="117"/>
      <c r="DE20" s="117"/>
      <c r="DF20" s="117"/>
      <c r="DG20" s="117"/>
      <c r="DH20" s="117"/>
      <c r="DI20" s="117"/>
      <c r="DJ20" s="117"/>
      <c r="DK20" s="117"/>
      <c r="DL20" s="117"/>
      <c r="DM20" s="117"/>
      <c r="DN20" s="117"/>
      <c r="DO20" s="117"/>
      <c r="DP20" s="117"/>
      <c r="DQ20" s="117"/>
      <c r="DR20" s="117"/>
      <c r="DS20" s="118"/>
      <c r="DT20" s="116"/>
      <c r="DU20" s="117"/>
      <c r="DV20" s="117"/>
      <c r="DW20" s="117"/>
      <c r="DX20" s="117"/>
      <c r="DY20" s="117"/>
      <c r="DZ20" s="117"/>
      <c r="EA20" s="117"/>
      <c r="EB20" s="117"/>
      <c r="EC20" s="117"/>
      <c r="ED20" s="117"/>
      <c r="EE20" s="117"/>
      <c r="EF20" s="117"/>
      <c r="EG20" s="117"/>
      <c r="EH20" s="117"/>
      <c r="EI20" s="117"/>
      <c r="EJ20" s="117"/>
      <c r="EK20" s="117"/>
      <c r="EL20" s="117"/>
      <c r="EM20" s="117"/>
      <c r="EN20" s="117"/>
      <c r="EO20" s="117"/>
      <c r="EP20" s="117"/>
      <c r="EQ20" s="117"/>
      <c r="ER20" s="117"/>
      <c r="ES20" s="117"/>
      <c r="ET20" s="117"/>
      <c r="EU20" s="117"/>
      <c r="EV20" s="117"/>
      <c r="EW20" s="118"/>
      <c r="EX20" s="116"/>
      <c r="EY20" s="117"/>
      <c r="EZ20" s="117"/>
      <c r="FA20" s="117"/>
      <c r="FB20" s="117"/>
      <c r="FC20" s="117"/>
      <c r="FD20" s="117"/>
      <c r="FE20" s="117"/>
      <c r="FF20" s="117"/>
      <c r="FG20" s="117"/>
      <c r="FH20" s="117"/>
      <c r="FI20" s="117"/>
      <c r="FJ20" s="117"/>
      <c r="FK20" s="117"/>
      <c r="FL20" s="117"/>
      <c r="FM20" s="117"/>
      <c r="FN20" s="117"/>
      <c r="FO20" s="117"/>
      <c r="FP20" s="117"/>
      <c r="FQ20" s="117"/>
      <c r="FR20" s="117"/>
      <c r="FS20" s="117"/>
      <c r="FT20" s="117"/>
      <c r="FU20" s="117"/>
      <c r="FV20" s="117"/>
      <c r="FW20" s="117"/>
      <c r="FX20" s="117"/>
      <c r="FY20" s="117"/>
      <c r="FZ20" s="117"/>
      <c r="GA20" s="118"/>
      <c r="GB20" s="116"/>
      <c r="GC20" s="117"/>
      <c r="GD20" s="117"/>
      <c r="GE20" s="117"/>
      <c r="GF20" s="117"/>
      <c r="GG20" s="117"/>
      <c r="GH20" s="117"/>
      <c r="GI20" s="117"/>
      <c r="GJ20" s="117"/>
      <c r="GK20" s="117"/>
      <c r="GL20" s="117"/>
      <c r="GM20" s="117"/>
      <c r="GN20" s="117"/>
      <c r="GO20" s="117"/>
      <c r="GP20" s="117"/>
      <c r="GQ20" s="117"/>
      <c r="GR20" s="117"/>
      <c r="GS20" s="117"/>
      <c r="GT20" s="117"/>
      <c r="GU20" s="117"/>
      <c r="GV20" s="117"/>
      <c r="GW20" s="117"/>
      <c r="GX20" s="117"/>
      <c r="GY20" s="117"/>
      <c r="GZ20" s="117"/>
      <c r="HA20" s="117"/>
      <c r="HB20" s="117"/>
      <c r="HC20" s="117"/>
      <c r="HD20" s="117"/>
      <c r="HE20" s="118"/>
      <c r="HF20" s="116"/>
      <c r="HG20" s="117"/>
      <c r="HH20" s="117"/>
      <c r="HI20" s="117"/>
      <c r="HJ20" s="117"/>
      <c r="HK20" s="117"/>
      <c r="HL20" s="117"/>
      <c r="HM20" s="117"/>
      <c r="HN20" s="117"/>
      <c r="HO20" s="117"/>
      <c r="HP20" s="117"/>
      <c r="HQ20" s="117"/>
      <c r="HR20" s="117"/>
      <c r="HS20" s="117"/>
      <c r="HT20" s="117"/>
      <c r="HU20" s="117"/>
      <c r="HV20" s="117"/>
      <c r="HW20" s="117"/>
      <c r="HX20" s="117"/>
      <c r="HY20" s="117"/>
      <c r="HZ20" s="117"/>
      <c r="IA20" s="117"/>
      <c r="IB20" s="117"/>
      <c r="IC20" s="117"/>
      <c r="ID20" s="117"/>
      <c r="IE20" s="117"/>
      <c r="IF20" s="117"/>
      <c r="IG20" s="117"/>
      <c r="IH20" s="117"/>
      <c r="II20" s="118"/>
    </row>
  </sheetData>
  <sheetProtection sheet="1" objects="1" scenarios="1" insertRows="0" selectLockedCells="1"/>
  <mergeCells count="16">
    <mergeCell ref="B17:B18"/>
    <mergeCell ref="D2:AG2"/>
    <mergeCell ref="AH2:BK2"/>
    <mergeCell ref="BL2:CO2"/>
    <mergeCell ref="CP2:DS2"/>
    <mergeCell ref="B3:B4"/>
    <mergeCell ref="B5:B6"/>
    <mergeCell ref="B7:B8"/>
    <mergeCell ref="B9:B10"/>
    <mergeCell ref="B11:B12"/>
    <mergeCell ref="B13:B14"/>
    <mergeCell ref="DT2:EW2"/>
    <mergeCell ref="EX2:GA2"/>
    <mergeCell ref="GB2:HE2"/>
    <mergeCell ref="HF2:II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 xr:uid="{C175EDDA-973B-44F8-B65B-0B2BD82284E2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5" t="s">
        <v>21</v>
      </c>
      <c r="C3" s="16">
        <v>0</v>
      </c>
    </row>
    <row r="4" spans="1:4" ht="19.5" customHeight="1" x14ac:dyDescent="0.25">
      <c r="A4" s="19"/>
      <c r="B4" s="13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topLeftCell="A55" workbookViewId="0">
      <selection activeCell="C81" sqref="C8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82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81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80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49</v>
      </c>
      <c r="B7" s="2"/>
      <c r="C7" s="10"/>
      <c r="D7" s="10"/>
    </row>
    <row r="8" spans="1:4" s="53" customFormat="1" x14ac:dyDescent="0.25">
      <c r="A8" s="92" t="s">
        <v>75</v>
      </c>
      <c r="B8" s="2">
        <v>6</v>
      </c>
      <c r="C8" s="93" t="s">
        <v>79</v>
      </c>
      <c r="D8" s="10"/>
    </row>
    <row r="9" spans="1:4" s="53" customFormat="1" ht="27" x14ac:dyDescent="0.25">
      <c r="A9" s="92" t="s">
        <v>77</v>
      </c>
      <c r="B9" s="2">
        <v>3</v>
      </c>
      <c r="C9" s="93" t="s">
        <v>78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76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37</v>
      </c>
      <c r="B22" s="4"/>
      <c r="C22" s="9"/>
      <c r="D22" s="9"/>
    </row>
    <row r="23" spans="1:9" ht="27" x14ac:dyDescent="0.25">
      <c r="A23" s="1" t="s">
        <v>31</v>
      </c>
      <c r="B23" s="2"/>
      <c r="C23" s="10"/>
      <c r="D23" s="10"/>
    </row>
    <row r="24" spans="1:9" x14ac:dyDescent="0.25">
      <c r="A24" s="92" t="s">
        <v>96</v>
      </c>
      <c r="B24" s="2">
        <v>3</v>
      </c>
      <c r="C24" s="93" t="s">
        <v>97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113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 t="s">
        <v>49</v>
      </c>
      <c r="B29" s="2"/>
      <c r="C29" s="10"/>
      <c r="D29" s="10"/>
      <c r="E29" s="20"/>
      <c r="F29" s="37"/>
      <c r="G29" s="38"/>
      <c r="H29" s="38"/>
      <c r="I29" s="20"/>
    </row>
    <row r="30" spans="1:9" ht="27" x14ac:dyDescent="0.25">
      <c r="A30" s="92" t="s">
        <v>114</v>
      </c>
      <c r="B30" s="2">
        <v>9</v>
      </c>
      <c r="C30" s="93" t="s">
        <v>115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 t="s">
        <v>48</v>
      </c>
      <c r="B41" s="4"/>
      <c r="C41" s="9"/>
      <c r="D41" s="9"/>
    </row>
    <row r="42" spans="1:9" ht="27" x14ac:dyDescent="0.25">
      <c r="A42" s="92" t="s">
        <v>125</v>
      </c>
      <c r="B42" s="2">
        <v>8</v>
      </c>
      <c r="C42" s="93" t="s">
        <v>116</v>
      </c>
      <c r="D42" s="10"/>
    </row>
    <row r="43" spans="1:9" x14ac:dyDescent="0.25">
      <c r="A43" s="92" t="s">
        <v>117</v>
      </c>
      <c r="B43" s="2">
        <v>1</v>
      </c>
      <c r="C43" s="93" t="s">
        <v>118</v>
      </c>
      <c r="D43" s="10"/>
    </row>
    <row r="44" spans="1:9" x14ac:dyDescent="0.25">
      <c r="A44" s="92" t="s">
        <v>37</v>
      </c>
      <c r="B44" s="2"/>
      <c r="C44" s="10"/>
      <c r="D44" s="10"/>
    </row>
    <row r="45" spans="1:9" ht="27" x14ac:dyDescent="0.25">
      <c r="A45" s="1" t="s">
        <v>32</v>
      </c>
      <c r="B45" s="2">
        <v>6</v>
      </c>
      <c r="C45" s="93" t="s">
        <v>119</v>
      </c>
      <c r="D45" s="10"/>
    </row>
    <row r="46" spans="1:9" x14ac:dyDescent="0.25">
      <c r="A46" s="1"/>
      <c r="B46" s="2">
        <v>2</v>
      </c>
      <c r="C46" s="10"/>
      <c r="D46" s="10"/>
    </row>
    <row r="47" spans="1:9" ht="27" x14ac:dyDescent="0.25">
      <c r="A47" s="1" t="s">
        <v>29</v>
      </c>
      <c r="B47" s="2">
        <v>1</v>
      </c>
      <c r="C47" s="93" t="s">
        <v>118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 t="s">
        <v>49</v>
      </c>
      <c r="B49" s="2"/>
      <c r="C49" s="10"/>
      <c r="D49" s="10"/>
    </row>
    <row r="50" spans="1:4" x14ac:dyDescent="0.25">
      <c r="A50" s="94" t="s">
        <v>120</v>
      </c>
      <c r="B50" s="2">
        <v>8</v>
      </c>
      <c r="C50" s="93" t="s">
        <v>121</v>
      </c>
      <c r="D50" s="10"/>
    </row>
    <row r="51" spans="1:4" x14ac:dyDescent="0.25">
      <c r="A51" s="94" t="s">
        <v>117</v>
      </c>
      <c r="B51" s="2">
        <v>1</v>
      </c>
      <c r="C51" s="93" t="s">
        <v>118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 t="s">
        <v>48</v>
      </c>
      <c r="B60" s="4"/>
      <c r="C60" s="9"/>
      <c r="D60" s="9"/>
    </row>
    <row r="61" spans="1:4" ht="27" x14ac:dyDescent="0.25">
      <c r="A61" s="92" t="s">
        <v>122</v>
      </c>
      <c r="B61" s="2">
        <v>4</v>
      </c>
      <c r="C61" s="93" t="s">
        <v>124</v>
      </c>
      <c r="D61" s="10"/>
    </row>
    <row r="62" spans="1:4" x14ac:dyDescent="0.25">
      <c r="A62" s="92" t="s">
        <v>84</v>
      </c>
      <c r="B62" s="2">
        <v>2</v>
      </c>
      <c r="C62" s="93" t="s">
        <v>123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 t="s">
        <v>49</v>
      </c>
      <c r="B64" s="2"/>
      <c r="C64" s="10"/>
      <c r="D64" s="10"/>
    </row>
    <row r="65" spans="1:4" x14ac:dyDescent="0.25">
      <c r="A65" s="92" t="s">
        <v>134</v>
      </c>
      <c r="B65" s="2">
        <v>5</v>
      </c>
      <c r="C65" s="93" t="s">
        <v>137</v>
      </c>
      <c r="D65" s="10"/>
    </row>
    <row r="66" spans="1:4" x14ac:dyDescent="0.25">
      <c r="A66" s="92" t="s">
        <v>135</v>
      </c>
      <c r="B66" s="2">
        <v>4</v>
      </c>
      <c r="C66" s="93" t="s">
        <v>136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15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 t="s">
        <v>48</v>
      </c>
      <c r="B79" s="4"/>
      <c r="C79" s="9"/>
      <c r="D79" s="9"/>
    </row>
    <row r="80" spans="1:4" x14ac:dyDescent="0.25">
      <c r="A80" s="92" t="s">
        <v>84</v>
      </c>
      <c r="B80" s="2">
        <v>9</v>
      </c>
      <c r="C80" s="93" t="s">
        <v>138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opLeftCell="A89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37</v>
      </c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41</v>
      </c>
      <c r="D4" s="10"/>
    </row>
    <row r="5" spans="1:4" s="53" customFormat="1" ht="27" x14ac:dyDescent="0.25">
      <c r="A5" s="92" t="s">
        <v>38</v>
      </c>
      <c r="B5" s="2">
        <v>1</v>
      </c>
      <c r="C5" s="93" t="s">
        <v>40</v>
      </c>
      <c r="D5" s="10"/>
    </row>
    <row r="6" spans="1:4" s="53" customFormat="1" ht="27" x14ac:dyDescent="0.25">
      <c r="A6" s="1" t="s">
        <v>28</v>
      </c>
      <c r="B6" s="2">
        <v>2</v>
      </c>
      <c r="C6" s="93" t="s">
        <v>42</v>
      </c>
      <c r="D6" s="10"/>
    </row>
    <row r="7" spans="1:4" s="53" customFormat="1" ht="27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43</v>
      </c>
      <c r="B8" s="2"/>
      <c r="C8" s="10"/>
      <c r="D8" s="10"/>
    </row>
    <row r="9" spans="1:4" s="53" customFormat="1" ht="27" x14ac:dyDescent="0.25">
      <c r="A9" s="94" t="s">
        <v>44</v>
      </c>
      <c r="B9" s="2">
        <v>3</v>
      </c>
      <c r="C9" s="93" t="s">
        <v>45</v>
      </c>
      <c r="D9" s="10"/>
    </row>
    <row r="10" spans="1:4" s="53" customFormat="1" ht="40.5" x14ac:dyDescent="0.25">
      <c r="A10" s="94" t="s">
        <v>46</v>
      </c>
      <c r="B10" s="2">
        <v>3</v>
      </c>
      <c r="C10" s="93" t="s">
        <v>47</v>
      </c>
      <c r="D10" s="10"/>
    </row>
    <row r="11" spans="1:4" s="53" customFormat="1" x14ac:dyDescent="0.25">
      <c r="A11" s="94" t="s">
        <v>53</v>
      </c>
      <c r="B11" s="2">
        <v>3</v>
      </c>
      <c r="C11" s="93" t="s">
        <v>54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35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37</v>
      </c>
      <c r="B17" s="4"/>
      <c r="C17" s="9"/>
      <c r="D17" s="9"/>
    </row>
    <row r="18" spans="1:9" ht="27" x14ac:dyDescent="0.25">
      <c r="A18" s="1" t="s">
        <v>31</v>
      </c>
      <c r="B18" s="2">
        <v>6</v>
      </c>
      <c r="C18" s="93" t="s">
        <v>98</v>
      </c>
      <c r="D18" s="10"/>
    </row>
    <row r="19" spans="1:9" x14ac:dyDescent="0.25">
      <c r="A19" s="92" t="s">
        <v>85</v>
      </c>
      <c r="B19" s="2">
        <v>3</v>
      </c>
      <c r="C19" s="93" t="s">
        <v>99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48</v>
      </c>
      <c r="B20" s="2"/>
      <c r="C20" s="10"/>
      <c r="D20" s="10"/>
      <c r="E20" s="20"/>
      <c r="F20" s="32"/>
      <c r="G20" s="33"/>
      <c r="H20" s="34"/>
      <c r="I20" s="20"/>
    </row>
    <row r="21" spans="1:9" ht="27" x14ac:dyDescent="0.25">
      <c r="A21" s="92" t="s">
        <v>50</v>
      </c>
      <c r="B21" s="2">
        <v>6</v>
      </c>
      <c r="C21" s="93" t="s">
        <v>74</v>
      </c>
      <c r="D21" s="10"/>
      <c r="E21" s="20"/>
      <c r="F21" s="35"/>
      <c r="G21" s="31"/>
      <c r="H21" s="31"/>
      <c r="I21" s="20"/>
    </row>
    <row r="22" spans="1:9" x14ac:dyDescent="0.25">
      <c r="A22" s="53" t="s">
        <v>85</v>
      </c>
      <c r="B22" s="53">
        <v>3</v>
      </c>
      <c r="C22" s="53" t="s">
        <v>86</v>
      </c>
      <c r="D22" s="10"/>
      <c r="E22" s="20"/>
      <c r="F22" s="37"/>
      <c r="G22" s="38"/>
      <c r="H22" s="38"/>
      <c r="I22" s="20"/>
    </row>
    <row r="23" spans="1:9" x14ac:dyDescent="0.25">
      <c r="A23" s="94" t="s">
        <v>49</v>
      </c>
      <c r="B23" s="2"/>
      <c r="C23" s="10"/>
      <c r="D23" s="10"/>
      <c r="E23" s="20"/>
      <c r="F23" s="37"/>
      <c r="G23" s="38"/>
      <c r="H23" s="38"/>
      <c r="I23" s="20"/>
    </row>
    <row r="24" spans="1:9" ht="27" x14ac:dyDescent="0.25">
      <c r="A24" s="94" t="s">
        <v>51</v>
      </c>
      <c r="B24" s="2">
        <v>6</v>
      </c>
      <c r="C24" s="93" t="s">
        <v>52</v>
      </c>
      <c r="D24" s="10"/>
      <c r="E24" s="20"/>
      <c r="F24" s="37"/>
      <c r="G24" s="38"/>
      <c r="H24" s="38"/>
      <c r="I24" s="20"/>
    </row>
    <row r="25" spans="1:9" x14ac:dyDescent="0.25">
      <c r="A25" s="53" t="s">
        <v>56</v>
      </c>
      <c r="B25" s="2">
        <v>3</v>
      </c>
      <c r="C25" s="94" t="s">
        <v>55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35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37</v>
      </c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100</v>
      </c>
      <c r="B32" s="2">
        <v>6</v>
      </c>
      <c r="C32" s="93" t="s">
        <v>101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32</v>
      </c>
      <c r="B33" s="2">
        <v>3</v>
      </c>
      <c r="C33" s="93" t="s">
        <v>102</v>
      </c>
      <c r="D33" s="10"/>
      <c r="E33" s="20"/>
      <c r="F33" s="20"/>
      <c r="G33" s="20"/>
      <c r="H33" s="20"/>
      <c r="I33" s="20"/>
    </row>
    <row r="34" spans="1:9" x14ac:dyDescent="0.25">
      <c r="A34" s="92" t="s">
        <v>48</v>
      </c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84</v>
      </c>
      <c r="B35" s="2">
        <v>3</v>
      </c>
      <c r="C35" s="93" t="s">
        <v>83</v>
      </c>
      <c r="D35" s="10"/>
    </row>
    <row r="36" spans="1:9" x14ac:dyDescent="0.25">
      <c r="A36" s="92" t="s">
        <v>87</v>
      </c>
      <c r="B36" s="2">
        <v>6</v>
      </c>
      <c r="C36" s="93" t="s">
        <v>88</v>
      </c>
      <c r="D36" s="10"/>
    </row>
    <row r="37" spans="1:9" x14ac:dyDescent="0.25">
      <c r="A37" s="2" t="s">
        <v>49</v>
      </c>
      <c r="B37" s="2"/>
      <c r="C37" s="10"/>
      <c r="D37" s="10"/>
    </row>
    <row r="38" spans="1:9" x14ac:dyDescent="0.25">
      <c r="A38" s="94" t="s">
        <v>56</v>
      </c>
      <c r="B38" s="2">
        <v>9</v>
      </c>
      <c r="C38" s="93" t="s">
        <v>57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35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 t="s">
        <v>37</v>
      </c>
      <c r="B45" s="4"/>
      <c r="C45" s="9"/>
      <c r="D45" s="9"/>
    </row>
    <row r="46" spans="1:9" ht="27" x14ac:dyDescent="0.25">
      <c r="A46" s="1" t="s">
        <v>32</v>
      </c>
      <c r="B46" s="2">
        <v>3</v>
      </c>
      <c r="C46" s="93" t="s">
        <v>103</v>
      </c>
      <c r="D46" s="10"/>
    </row>
    <row r="47" spans="1:9" ht="27" x14ac:dyDescent="0.25">
      <c r="A47" s="92" t="s">
        <v>104</v>
      </c>
      <c r="B47" s="2">
        <v>6</v>
      </c>
      <c r="C47" s="93" t="s">
        <v>105</v>
      </c>
      <c r="D47" s="10"/>
    </row>
    <row r="48" spans="1:9" x14ac:dyDescent="0.25">
      <c r="A48" s="92" t="s">
        <v>48</v>
      </c>
      <c r="B48" s="2"/>
      <c r="C48" s="10"/>
      <c r="D48" s="10"/>
    </row>
    <row r="49" spans="1:4" x14ac:dyDescent="0.25">
      <c r="A49" s="92" t="s">
        <v>89</v>
      </c>
      <c r="B49" s="2">
        <v>6</v>
      </c>
      <c r="C49" s="93" t="s">
        <v>90</v>
      </c>
      <c r="D49" s="10"/>
    </row>
    <row r="50" spans="1:4" x14ac:dyDescent="0.25">
      <c r="A50" s="92" t="s">
        <v>91</v>
      </c>
      <c r="B50" s="2">
        <v>3</v>
      </c>
      <c r="C50" s="93" t="s">
        <v>92</v>
      </c>
      <c r="D50" s="10"/>
    </row>
    <row r="51" spans="1:4" x14ac:dyDescent="0.25">
      <c r="A51" s="94" t="s">
        <v>49</v>
      </c>
      <c r="B51" s="2"/>
      <c r="C51" s="10"/>
      <c r="D51" s="10"/>
    </row>
    <row r="52" spans="1:4" ht="27" x14ac:dyDescent="0.25">
      <c r="A52" s="94" t="s">
        <v>58</v>
      </c>
      <c r="B52" s="2">
        <v>9</v>
      </c>
      <c r="C52" s="93" t="s">
        <v>59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35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37</v>
      </c>
      <c r="B59" s="4"/>
      <c r="C59" s="9"/>
      <c r="D59" s="9"/>
    </row>
    <row r="60" spans="1:4" ht="27" x14ac:dyDescent="0.25">
      <c r="A60" s="92" t="s">
        <v>106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92" t="s">
        <v>48</v>
      </c>
      <c r="B62" s="2"/>
      <c r="C62" s="10"/>
      <c r="D62" s="10"/>
    </row>
    <row r="63" spans="1:4" x14ac:dyDescent="0.25">
      <c r="A63" s="92" t="s">
        <v>93</v>
      </c>
      <c r="B63" s="2">
        <v>9</v>
      </c>
      <c r="C63" s="93" t="s">
        <v>94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 t="s">
        <v>49</v>
      </c>
      <c r="B65" s="2"/>
      <c r="C65" s="10"/>
      <c r="D65" s="10"/>
    </row>
    <row r="66" spans="1:4" x14ac:dyDescent="0.25">
      <c r="A66" s="94" t="s">
        <v>60</v>
      </c>
      <c r="B66" s="2">
        <v>5</v>
      </c>
      <c r="C66" s="93" t="s">
        <v>61</v>
      </c>
      <c r="D66" s="10"/>
    </row>
    <row r="67" spans="1:4" x14ac:dyDescent="0.25">
      <c r="A67" s="94" t="s">
        <v>62</v>
      </c>
      <c r="B67" s="2">
        <v>4</v>
      </c>
      <c r="C67" s="93" t="s">
        <v>63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35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37</v>
      </c>
      <c r="B73" s="4"/>
      <c r="C73" s="9"/>
      <c r="D73" s="9"/>
    </row>
    <row r="74" spans="1:4" ht="27" x14ac:dyDescent="0.25">
      <c r="A74" s="92" t="s">
        <v>107</v>
      </c>
      <c r="B74" s="2">
        <v>9</v>
      </c>
      <c r="C74" s="93" t="s">
        <v>110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48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95</v>
      </c>
      <c r="D78" s="10"/>
    </row>
    <row r="79" spans="1:4" x14ac:dyDescent="0.25">
      <c r="A79" s="94" t="s">
        <v>49</v>
      </c>
      <c r="B79" s="2"/>
      <c r="C79" s="10"/>
      <c r="D79" s="10"/>
    </row>
    <row r="80" spans="1:4" x14ac:dyDescent="0.25">
      <c r="A80" s="94" t="s">
        <v>64</v>
      </c>
      <c r="B80" s="2">
        <v>3</v>
      </c>
      <c r="C80" s="93" t="s">
        <v>65</v>
      </c>
      <c r="D80" s="10"/>
    </row>
    <row r="81" spans="1:4" x14ac:dyDescent="0.25">
      <c r="A81" s="94" t="s">
        <v>66</v>
      </c>
      <c r="B81" s="2">
        <v>6</v>
      </c>
      <c r="C81" s="93" t="s">
        <v>67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35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37</v>
      </c>
      <c r="B87" s="4"/>
      <c r="C87" s="9"/>
      <c r="D87" s="9"/>
    </row>
    <row r="88" spans="1:4" x14ac:dyDescent="0.25">
      <c r="A88" s="92" t="s">
        <v>108</v>
      </c>
      <c r="B88" s="2">
        <v>9</v>
      </c>
      <c r="C88" s="93" t="s">
        <v>111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48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95</v>
      </c>
      <c r="D92" s="10"/>
    </row>
    <row r="93" spans="1:4" x14ac:dyDescent="0.25">
      <c r="A93" s="94" t="s">
        <v>49</v>
      </c>
      <c r="B93" s="2"/>
      <c r="C93" s="10"/>
      <c r="D93" s="10"/>
    </row>
    <row r="94" spans="1:4" x14ac:dyDescent="0.25">
      <c r="A94" s="94" t="s">
        <v>69</v>
      </c>
      <c r="B94" s="2">
        <v>5</v>
      </c>
      <c r="C94" s="93" t="s">
        <v>68</v>
      </c>
      <c r="D94" s="10"/>
    </row>
    <row r="95" spans="1:4" x14ac:dyDescent="0.25">
      <c r="A95" s="94" t="s">
        <v>70</v>
      </c>
      <c r="B95" s="2">
        <v>4</v>
      </c>
      <c r="C95" s="93" t="s">
        <v>71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35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109</v>
      </c>
      <c r="B101" s="4">
        <v>9</v>
      </c>
      <c r="C101" s="96" t="s">
        <v>112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48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95</v>
      </c>
      <c r="D107" s="10"/>
    </row>
    <row r="108" spans="1:4" x14ac:dyDescent="0.25">
      <c r="A108" s="94" t="s">
        <v>49</v>
      </c>
      <c r="B108" s="2"/>
      <c r="C108" s="10"/>
      <c r="D108" s="10"/>
    </row>
    <row r="109" spans="1:4" x14ac:dyDescent="0.25">
      <c r="A109" s="94" t="s">
        <v>72</v>
      </c>
      <c r="B109" s="2">
        <v>9</v>
      </c>
      <c r="C109" s="93" t="s">
        <v>73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35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36</v>
      </c>
    </row>
  </sheetData>
  <sheetProtection sheet="1" objects="1" scenarios="1" insertRows="0" selectLockedCells="1"/>
  <dataValidations disablePrompts="1"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2024-09-23T13:44:44Z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